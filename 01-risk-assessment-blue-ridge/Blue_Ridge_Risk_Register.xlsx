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isk Register" sheetId="1" state="visible" r:id="rId3"/>
    <sheet name="5x5 Heat Map" sheetId="2" state="visible" r:id="rId4"/>
  </sheets>
  <definedNames>
    <definedName function="false" hidden="true" localSheetId="0" name="_xlnm._FilterDatabase" vbProcedure="false">'Risk Register'!$A$4:$N$17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<sst xmlns="http://schemas.openxmlformats.org/spreadsheetml/2006/main" count="168" uniqueCount="132">
  <si>
    <t xml:space="preserve">Blue Ridge Family Health Clinic — Information Security Risk Register</t>
  </si>
  <si>
    <t xml:space="preserve">Methodology: NIST SP 800-30 Rev.1 qualitative risk assessment (5x5 Likelihood x Impact matrix)  |  Prepared: July 2026  |  Classification: Internal Use Only</t>
  </si>
  <si>
    <t xml:space="preserve">ID</t>
  </si>
  <si>
    <t xml:space="preserve">Risk Description</t>
  </si>
  <si>
    <t xml:space="preserve">Category</t>
  </si>
  <si>
    <t xml:space="preserve">Threat Source</t>
  </si>
  <si>
    <t xml:space="preserve">Vulnerability</t>
  </si>
  <si>
    <t xml:space="preserve">Likelihood
(1-5)</t>
  </si>
  <si>
    <t xml:space="preserve">Impact
(1-5)</t>
  </si>
  <si>
    <t xml:space="preserve">Risk Score
(L x I)</t>
  </si>
  <si>
    <t xml:space="preserve">Risk Level</t>
  </si>
  <si>
    <t xml:space="preserve">Existing Controls</t>
  </si>
  <si>
    <t xml:space="preserve">Recommended Treatment</t>
  </si>
  <si>
    <t xml:space="preserve">Risk Owner</t>
  </si>
  <si>
    <t xml:space="preserve">Target Date</t>
  </si>
  <si>
    <t xml:space="preserve">Status</t>
  </si>
  <si>
    <t xml:space="preserve">R-01</t>
  </si>
  <si>
    <t xml:space="preserve">Phishing email leads to compromised staff O365 credentials</t>
  </si>
  <si>
    <t xml:space="preserve">Technical</t>
  </si>
  <si>
    <t xml:space="preserve">External attacker</t>
  </si>
  <si>
    <t xml:space="preserve">Limited phishing/security awareness training for clinical staff</t>
  </si>
  <si>
    <t xml:space="preserve">Basic email spam filtering; no phishing simulation program</t>
  </si>
  <si>
    <t xml:space="preserve">Deploy phishing-resistant MFA on O365; run quarterly simulated phishing campaigns</t>
  </si>
  <si>
    <t xml:space="preserve">IT Manager</t>
  </si>
  <si>
    <t xml:space="preserve">2026-09-30</t>
  </si>
  <si>
    <t xml:space="preserve">Open</t>
  </si>
  <si>
    <t xml:space="preserve">R-02</t>
  </si>
  <si>
    <t xml:space="preserve">Ransomware encrypts EHR-connected endpoints via compromised workstation</t>
  </si>
  <si>
    <t xml:space="preserve">External attacker / malware</t>
  </si>
  <si>
    <t xml:space="preserve">Endpoints lack EDR; inconsistent patch cadence</t>
  </si>
  <si>
    <t xml:space="preserve">Antivirus (signature-based) on workstations; nightly EHR vendor backups</t>
  </si>
  <si>
    <t xml:space="preserve">Deploy EDR to all endpoints; enforce automated patch management; test backup restoration quarterly</t>
  </si>
  <si>
    <t xml:space="preserve">2026-10-15</t>
  </si>
  <si>
    <t xml:space="preserve">R-03</t>
  </si>
  <si>
    <t xml:space="preserve">Remote billing staff laptop lost or stolen while unencrypted</t>
  </si>
  <si>
    <t xml:space="preserve">Physical/Technical</t>
  </si>
  <si>
    <t xml:space="preserve">Theft/loss</t>
  </si>
  <si>
    <t xml:space="preserve">Full-disk encryption not enforced on remote laptops</t>
  </si>
  <si>
    <t xml:space="preserve">Laptops issued with standard OS install; no MDM enrollment</t>
  </si>
  <si>
    <t xml:space="preserve">Enforce BitLocker/FileVault via MDM; enable remote wipe capability</t>
  </si>
  <si>
    <t xml:space="preserve">2026-09-15</t>
  </si>
  <si>
    <t xml:space="preserve">R-04</t>
  </si>
  <si>
    <t xml:space="preserve">Third-party billing vendor suffers a data breach exposing PHI</t>
  </si>
  <si>
    <t xml:space="preserve">Third-Party</t>
  </si>
  <si>
    <t xml:space="preserve">Vendor/supply chain</t>
  </si>
  <si>
    <t xml:space="preserve">No annual vendor security review; BAA lacks breach-notification SLA</t>
  </si>
  <si>
    <t xml:space="preserve">Signed Business Associate Agreement (BAA) on file</t>
  </si>
  <si>
    <t xml:space="preserve">Require SOC 2 report annually; add 72-hour breach notification clause; add to vendor risk register</t>
  </si>
  <si>
    <t xml:space="preserve">Compliance Officer</t>
  </si>
  <si>
    <t xml:space="preserve">2026-11-01</t>
  </si>
  <si>
    <t xml:space="preserve">R-05</t>
  </si>
  <si>
    <t xml:space="preserve">Clinical staff use weak or shared passwords across systems</t>
  </si>
  <si>
    <t xml:space="preserve">Administrative</t>
  </si>
  <si>
    <t xml:space="preserve">Insider (unintentional)</t>
  </si>
  <si>
    <t xml:space="preserve">No enforced password complexity or uniqueness policy</t>
  </si>
  <si>
    <t xml:space="preserve">Basic 8-character minimum password rule</t>
  </si>
  <si>
    <t xml:space="preserve">Enforce password policy via Active Directory GPO; roll out password manager for staff</t>
  </si>
  <si>
    <t xml:space="preserve">2026-08-31</t>
  </si>
  <si>
    <t xml:space="preserve">R-06</t>
  </si>
  <si>
    <t xml:space="preserve">EHR remote access is not protected by multi-factor authentication</t>
  </si>
  <si>
    <t xml:space="preserve">Legacy EHR remote portal supports password-only login</t>
  </si>
  <si>
    <t xml:space="preserve">VPN required for remote access; static password login</t>
  </si>
  <si>
    <t xml:space="preserve">Enable MFA on VPN and EHR portal immediately; treat as priority remediation</t>
  </si>
  <si>
    <t xml:space="preserve">2026-08-15</t>
  </si>
  <si>
    <t xml:space="preserve">In Progress</t>
  </si>
  <si>
    <t xml:space="preserve">R-07</t>
  </si>
  <si>
    <t xml:space="preserve">Outdated/unpatched networked medical devices (BP monitors, scales)</t>
  </si>
  <si>
    <t xml:space="preserve">Devices run unsupported firmware; vendor patches applied ad hoc</t>
  </si>
  <si>
    <t xml:space="preserve">Devices isolated on separate VLAN from EHR systems</t>
  </si>
  <si>
    <t xml:space="preserve">Establish device inventory and firmware patch schedule with biomedical vendor</t>
  </si>
  <si>
    <t xml:space="preserve">Clinical Ops Manager</t>
  </si>
  <si>
    <t xml:space="preserve">2026-12-01</t>
  </si>
  <si>
    <t xml:space="preserve">R-08</t>
  </si>
  <si>
    <t xml:space="preserve">Insufficient security awareness training across all staff roles</t>
  </si>
  <si>
    <t xml:space="preserve">Training limited to one-time HIPAA orientation at hire</t>
  </si>
  <si>
    <t xml:space="preserve">HIPAA training at onboarding only</t>
  </si>
  <si>
    <t xml:space="preserve">Implement annual mandatory security awareness training with tracked completion</t>
  </si>
  <si>
    <t xml:space="preserve">R-09</t>
  </si>
  <si>
    <t xml:space="preserve">No formal, tested incident response plan for security events</t>
  </si>
  <si>
    <t xml:space="preserve">N/A (process gap)</t>
  </si>
  <si>
    <t xml:space="preserve">IR responsibilities undocumented; no defined escalation path</t>
  </si>
  <si>
    <t xml:space="preserve">Informal verbal escalation to IT Manager</t>
  </si>
  <si>
    <t xml:space="preserve">Draft IR plan aligned to NIST SP 800-61; run tabletop exercise within 90 days</t>
  </si>
  <si>
    <t xml:space="preserve">2026-10-31</t>
  </si>
  <si>
    <t xml:space="preserve">R-10</t>
  </si>
  <si>
    <t xml:space="preserve">Improper disposal of paper records containing PHI</t>
  </si>
  <si>
    <t xml:space="preserve">Physical</t>
  </si>
  <si>
    <t xml:space="preserve">No shredding policy consistently enforced at front-desk stations</t>
  </si>
  <si>
    <t xml:space="preserve">Locked shred bins present in back office only</t>
  </si>
  <si>
    <t xml:space="preserve">Add shred bins to all front-desk stations; add disposal step to clean-desk policy</t>
  </si>
  <si>
    <t xml:space="preserve">Office Manager</t>
  </si>
  <si>
    <t xml:space="preserve">2026-09-01</t>
  </si>
  <si>
    <t xml:space="preserve">R-11</t>
  </si>
  <si>
    <t xml:space="preserve">Insider unauthorized access to patient records outside job duties</t>
  </si>
  <si>
    <t xml:space="preserve">Insider (intentional)</t>
  </si>
  <si>
    <t xml:space="preserve">EHR access not role-restricted; no access review cadence</t>
  </si>
  <si>
    <t xml:space="preserve">EHR maintains access logs, not actively reviewed</t>
  </si>
  <si>
    <t xml:space="preserve">Implement role-based access control; conduct quarterly access reviews and log audits</t>
  </si>
  <si>
    <t xml:space="preserve">2026-11-15</t>
  </si>
  <si>
    <t xml:space="preserve">R-12</t>
  </si>
  <si>
    <t xml:space="preserve">Guest Wi-Fi network is not segmented from clinical/EHR network</t>
  </si>
  <si>
    <t xml:space="preserve">Flat network architecture; single SSID for guests and staff</t>
  </si>
  <si>
    <t xml:space="preserve">Guest Wi-Fi password-protected but same VLAN as clinical systems</t>
  </si>
  <si>
    <t xml:space="preserve">Segment guest Wi-Fi onto isolated VLAN with no route to clinical network</t>
  </si>
  <si>
    <t xml:space="preserve">R-13</t>
  </si>
  <si>
    <t xml:space="preserve">Backup failures or untested disaster recovery leave data unrecoverable</t>
  </si>
  <si>
    <t xml:space="preserve">Backups run automatically but restoration has never been tested</t>
  </si>
  <si>
    <t xml:space="preserve">Cloud EHR vendor performs nightly backups per contract</t>
  </si>
  <si>
    <t xml:space="preserve">Document DR/BCP plan; perform full restoration test annually; define RTO/RPO</t>
  </si>
  <si>
    <t xml:space="preserve">2026-12-15</t>
  </si>
  <si>
    <t xml:space="preserve">Risk Level Thresholds (Score = Likelihood x Impact):</t>
  </si>
  <si>
    <t xml:space="preserve">Low</t>
  </si>
  <si>
    <t xml:space="preserve">1-4</t>
  </si>
  <si>
    <t xml:space="preserve">Medium</t>
  </si>
  <si>
    <t xml:space="preserve">5-9</t>
  </si>
  <si>
    <t xml:space="preserve">High</t>
  </si>
  <si>
    <t xml:space="preserve">10-14</t>
  </si>
  <si>
    <t xml:space="preserve">Critical</t>
  </si>
  <si>
    <t xml:space="preserve">15-25</t>
  </si>
  <si>
    <t xml:space="preserve">Likelihood x Impact Heat Map — Risk Count by Cell</t>
  </si>
  <si>
    <t xml:space="preserve">Likelihood \ Impact</t>
  </si>
  <si>
    <t xml:space="preserve">Impact 1</t>
  </si>
  <si>
    <t xml:space="preserve">Impact 2</t>
  </si>
  <si>
    <t xml:space="preserve">Impact 3</t>
  </si>
  <si>
    <t xml:space="preserve">Impact 4</t>
  </si>
  <si>
    <t xml:space="preserve">Impact 5</t>
  </si>
  <si>
    <t xml:space="preserve">Likelihood 5</t>
  </si>
  <si>
    <t xml:space="preserve">Likelihood 4</t>
  </si>
  <si>
    <t xml:space="preserve">Likelihood 3</t>
  </si>
  <si>
    <t xml:space="preserve">Likelihood 2</t>
  </si>
  <si>
    <t xml:space="preserve">Likelihood 1</t>
  </si>
  <si>
    <t xml:space="preserve">Cell values = count of risks in the register at that Likelihood/Impact combination (auto-updates via COUNTIFS).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</si>
</sst>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63BE7B"/>
        <bgColor rgb="FF339966"/>
      </patternFill>
    </fill>
    <fill>
      <patternFill patternType="solid">
        <fgColor rgb="FFFFEB84"/>
        <bgColor rgb="FFFFCC99"/>
      </patternFill>
    </fill>
    <fill>
      <patternFill patternType="solid">
        <fgColor rgb="FFFFC000"/>
        <bgColor rgb="FFFF9900"/>
      </patternFill>
    </fill>
    <fill>
      <patternFill patternType="solid">
        <fgColor rgb="FFF8696B"/>
        <bgColor rgb="FFFF66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63BE7B"/>
          <bgColor rgb="FF000000"/>
        </patternFill>
      </fill>
    </dxf>
    <dxf>
      <fill>
        <patternFill patternType="solid">
          <fgColor rgb="FF97CD7E"/>
          <bgColor rgb="FF000000"/>
        </patternFill>
      </fill>
    </dxf>
    <dxf>
      <fill>
        <patternFill patternType="solid">
          <fgColor rgb="FFB1D47F"/>
          <bgColor rgb="FF000000"/>
        </patternFill>
      </fill>
    </dxf>
    <dxf>
      <fill>
        <patternFill patternType="solid">
          <fgColor rgb="FFCBDC81"/>
          <bgColor rgb="FF000000"/>
        </patternFill>
      </fill>
    </dxf>
    <dxf>
      <fill>
        <patternFill patternType="solid">
          <fgColor rgb="FFF8696B"/>
          <bgColor rgb="FF000000"/>
        </patternFill>
      </fill>
    </dxf>
    <dxf>
      <fill>
        <patternFill patternType="solid">
          <fgColor rgb="FFFA8A72"/>
          <bgColor rgb="FF000000"/>
        </patternFill>
      </fill>
    </dxf>
    <dxf>
      <fill>
        <patternFill patternType="solid">
          <fgColor rgb="FFFFEB8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8696B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B84"/>
      <rgbColor rgb="FF99CCFF"/>
      <rgbColor rgb="FFFF99CC"/>
      <rgbColor rgb="FFCC99FF"/>
      <rgbColor rgb="FFFFCC99"/>
      <rgbColor rgb="FF3366FF"/>
      <rgbColor rgb="FF63BE7B"/>
      <rgbColor rgb="FF99CC00"/>
      <rgbColor rgb="FFFFC0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26"/>
    <col collapsed="false" customWidth="true" hidden="false" outlineLevel="0" max="7" min="6" style="0" width="9"/>
    <col collapsed="false" customWidth="true" hidden="false" outlineLevel="0" max="8" min="8" style="0" width="10"/>
    <col collapsed="false" customWidth="true" hidden="false" outlineLevel="0" max="9" min="9" style="0" width="11"/>
    <col collapsed="false" customWidth="true" hidden="false" outlineLevel="0" max="10" min="10" style="0" width="26"/>
    <col collapsed="false" customWidth="true" hidden="false" outlineLevel="0" max="11" min="11" style="0" width="30"/>
    <col collapsed="false" customWidth="true" hidden="false" outlineLevel="0" max="12" min="12" style="0" width="16"/>
    <col collapsed="false" customWidth="true" hidden="false" outlineLevel="0" max="14" min="13" style="0" width="12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customFormat="false" ht="35.0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</row>
    <row r="5" customFormat="false" ht="57.75" hidden="false" customHeight="true" outlineLevel="0" collapsed="false">
      <c r="A5" s="4" t="s">
        <v>16</v>
      </c>
      <c r="B5" s="5" t="s">
        <v>17</v>
      </c>
      <c r="C5" s="4" t="s">
        <v>18</v>
      </c>
      <c r="D5" s="5" t="s">
        <v>19</v>
      </c>
      <c r="E5" s="5" t="s">
        <v>20</v>
      </c>
      <c r="F5" s="4" t="n">
        <v>4</v>
      </c>
      <c r="G5" s="4" t="n">
        <v>4</v>
      </c>
      <c r="H5" s="6" t="n">
        <f aca="false">F5*G5</f>
        <v>16</v>
      </c>
      <c r="I5" s="4" t="str">
        <f aca="false">IF(H5&gt;=15,"Critical",IF(H5&gt;=10,"High",IF(H5&gt;=5,"Medium","Low")))</f>
        <v>Critical</v>
      </c>
      <c r="J5" s="5" t="s">
        <v>21</v>
      </c>
      <c r="K5" s="5" t="s">
        <v>22</v>
      </c>
      <c r="L5" s="4" t="s">
        <v>23</v>
      </c>
      <c r="M5" s="4" t="s">
        <v>24</v>
      </c>
      <c r="N5" s="4" t="s">
        <v>25</v>
      </c>
    </row>
    <row r="6" customFormat="false" ht="57.75" hidden="false" customHeight="true" outlineLevel="0" collapsed="false">
      <c r="A6" s="4" t="s">
        <v>26</v>
      </c>
      <c r="B6" s="5" t="s">
        <v>27</v>
      </c>
      <c r="C6" s="4" t="s">
        <v>18</v>
      </c>
      <c r="D6" s="5" t="s">
        <v>28</v>
      </c>
      <c r="E6" s="5" t="s">
        <v>29</v>
      </c>
      <c r="F6" s="4" t="n">
        <v>3</v>
      </c>
      <c r="G6" s="4" t="n">
        <v>5</v>
      </c>
      <c r="H6" s="6" t="n">
        <f aca="false">F6*G6</f>
        <v>15</v>
      </c>
      <c r="I6" s="4" t="str">
        <f aca="false">IF(H6&gt;=15,"Critical",IF(H6&gt;=10,"High",IF(H6&gt;=5,"Medium","Low")))</f>
        <v>Critical</v>
      </c>
      <c r="J6" s="5" t="s">
        <v>30</v>
      </c>
      <c r="K6" s="5" t="s">
        <v>31</v>
      </c>
      <c r="L6" s="4" t="s">
        <v>23</v>
      </c>
      <c r="M6" s="4" t="s">
        <v>32</v>
      </c>
      <c r="N6" s="4" t="s">
        <v>25</v>
      </c>
    </row>
    <row r="7" customFormat="false" ht="57.75" hidden="false" customHeight="true" outlineLevel="0" collapsed="false">
      <c r="A7" s="4" t="s">
        <v>33</v>
      </c>
      <c r="B7" s="5" t="s">
        <v>34</v>
      </c>
      <c r="C7" s="4" t="s">
        <v>35</v>
      </c>
      <c r="D7" s="5" t="s">
        <v>36</v>
      </c>
      <c r="E7" s="5" t="s">
        <v>37</v>
      </c>
      <c r="F7" s="4" t="n">
        <v>2</v>
      </c>
      <c r="G7" s="4" t="n">
        <v>4</v>
      </c>
      <c r="H7" s="6" t="n">
        <f aca="false">F7*G7</f>
        <v>8</v>
      </c>
      <c r="I7" s="4" t="str">
        <f aca="false">IF(H7&gt;=15,"Critical",IF(H7&gt;=10,"High",IF(H7&gt;=5,"Medium","Low")))</f>
        <v>Medium</v>
      </c>
      <c r="J7" s="5" t="s">
        <v>38</v>
      </c>
      <c r="K7" s="5" t="s">
        <v>39</v>
      </c>
      <c r="L7" s="4" t="s">
        <v>23</v>
      </c>
      <c r="M7" s="4" t="s">
        <v>40</v>
      </c>
      <c r="N7" s="4" t="s">
        <v>25</v>
      </c>
    </row>
    <row r="8" customFormat="false" ht="57.75" hidden="false" customHeight="true" outlineLevel="0" collapsed="false">
      <c r="A8" s="4" t="s">
        <v>41</v>
      </c>
      <c r="B8" s="5" t="s">
        <v>42</v>
      </c>
      <c r="C8" s="4" t="s">
        <v>43</v>
      </c>
      <c r="D8" s="5" t="s">
        <v>44</v>
      </c>
      <c r="E8" s="5" t="s">
        <v>45</v>
      </c>
      <c r="F8" s="4" t="n">
        <v>2</v>
      </c>
      <c r="G8" s="4" t="n">
        <v>5</v>
      </c>
      <c r="H8" s="6" t="n">
        <f aca="false">F8*G8</f>
        <v>10</v>
      </c>
      <c r="I8" s="4" t="str">
        <f aca="false">IF(H8&gt;=15,"Critical",IF(H8&gt;=10,"High",IF(H8&gt;=5,"Medium","Low")))</f>
        <v>High</v>
      </c>
      <c r="J8" s="5" t="s">
        <v>46</v>
      </c>
      <c r="K8" s="5" t="s">
        <v>47</v>
      </c>
      <c r="L8" s="4" t="s">
        <v>48</v>
      </c>
      <c r="M8" s="4" t="s">
        <v>49</v>
      </c>
      <c r="N8" s="4" t="s">
        <v>25</v>
      </c>
    </row>
    <row r="9" customFormat="false" ht="57.75" hidden="false" customHeight="true" outlineLevel="0" collapsed="false">
      <c r="A9" s="4" t="s">
        <v>50</v>
      </c>
      <c r="B9" s="5" t="s">
        <v>51</v>
      </c>
      <c r="C9" s="4" t="s">
        <v>52</v>
      </c>
      <c r="D9" s="5" t="s">
        <v>53</v>
      </c>
      <c r="E9" s="5" t="s">
        <v>54</v>
      </c>
      <c r="F9" s="4" t="n">
        <v>4</v>
      </c>
      <c r="G9" s="4" t="n">
        <v>3</v>
      </c>
      <c r="H9" s="6" t="n">
        <f aca="false">F9*G9</f>
        <v>12</v>
      </c>
      <c r="I9" s="4" t="str">
        <f aca="false">IF(H9&gt;=15,"Critical",IF(H9&gt;=10,"High",IF(H9&gt;=5,"Medium","Low")))</f>
        <v>High</v>
      </c>
      <c r="J9" s="5" t="s">
        <v>55</v>
      </c>
      <c r="K9" s="5" t="s">
        <v>56</v>
      </c>
      <c r="L9" s="4" t="s">
        <v>23</v>
      </c>
      <c r="M9" s="4" t="s">
        <v>57</v>
      </c>
      <c r="N9" s="4" t="s">
        <v>25</v>
      </c>
    </row>
    <row r="10" customFormat="false" ht="57.75" hidden="false" customHeight="true" outlineLevel="0" collapsed="false">
      <c r="A10" s="4" t="s">
        <v>58</v>
      </c>
      <c r="B10" s="5" t="s">
        <v>59</v>
      </c>
      <c r="C10" s="4" t="s">
        <v>18</v>
      </c>
      <c r="D10" s="5" t="s">
        <v>19</v>
      </c>
      <c r="E10" s="5" t="s">
        <v>60</v>
      </c>
      <c r="F10" s="4" t="n">
        <v>3</v>
      </c>
      <c r="G10" s="4" t="n">
        <v>5</v>
      </c>
      <c r="H10" s="6" t="n">
        <f aca="false">F10*G10</f>
        <v>15</v>
      </c>
      <c r="I10" s="4" t="str">
        <f aca="false">IF(H10&gt;=15,"Critical",IF(H10&gt;=10,"High",IF(H10&gt;=5,"Medium","Low")))</f>
        <v>Critical</v>
      </c>
      <c r="J10" s="5" t="s">
        <v>61</v>
      </c>
      <c r="K10" s="5" t="s">
        <v>62</v>
      </c>
      <c r="L10" s="4" t="s">
        <v>23</v>
      </c>
      <c r="M10" s="4" t="s">
        <v>63</v>
      </c>
      <c r="N10" s="4" t="s">
        <v>64</v>
      </c>
    </row>
    <row r="11" customFormat="false" ht="57.75" hidden="false" customHeight="true" outlineLevel="0" collapsed="false">
      <c r="A11" s="4" t="s">
        <v>65</v>
      </c>
      <c r="B11" s="5" t="s">
        <v>66</v>
      </c>
      <c r="C11" s="4" t="s">
        <v>18</v>
      </c>
      <c r="D11" s="5" t="s">
        <v>28</v>
      </c>
      <c r="E11" s="5" t="s">
        <v>67</v>
      </c>
      <c r="F11" s="4" t="n">
        <v>3</v>
      </c>
      <c r="G11" s="4" t="n">
        <v>3</v>
      </c>
      <c r="H11" s="6" t="n">
        <f aca="false">F11*G11</f>
        <v>9</v>
      </c>
      <c r="I11" s="4" t="str">
        <f aca="false">IF(H11&gt;=15,"Critical",IF(H11&gt;=10,"High",IF(H11&gt;=5,"Medium","Low")))</f>
        <v>Medium</v>
      </c>
      <c r="J11" s="5" t="s">
        <v>68</v>
      </c>
      <c r="K11" s="5" t="s">
        <v>69</v>
      </c>
      <c r="L11" s="4" t="s">
        <v>70</v>
      </c>
      <c r="M11" s="4" t="s">
        <v>71</v>
      </c>
      <c r="N11" s="4" t="s">
        <v>25</v>
      </c>
    </row>
    <row r="12" customFormat="false" ht="57.75" hidden="false" customHeight="true" outlineLevel="0" collapsed="false">
      <c r="A12" s="4" t="s">
        <v>72</v>
      </c>
      <c r="B12" s="5" t="s">
        <v>73</v>
      </c>
      <c r="C12" s="4" t="s">
        <v>52</v>
      </c>
      <c r="D12" s="5" t="s">
        <v>53</v>
      </c>
      <c r="E12" s="5" t="s">
        <v>74</v>
      </c>
      <c r="F12" s="4" t="n">
        <v>4</v>
      </c>
      <c r="G12" s="4" t="n">
        <v>3</v>
      </c>
      <c r="H12" s="6" t="n">
        <f aca="false">F12*G12</f>
        <v>12</v>
      </c>
      <c r="I12" s="4" t="str">
        <f aca="false">IF(H12&gt;=15,"Critical",IF(H12&gt;=10,"High",IF(H12&gt;=5,"Medium","Low")))</f>
        <v>High</v>
      </c>
      <c r="J12" s="5" t="s">
        <v>75</v>
      </c>
      <c r="K12" s="5" t="s">
        <v>76</v>
      </c>
      <c r="L12" s="4" t="s">
        <v>48</v>
      </c>
      <c r="M12" s="4" t="s">
        <v>24</v>
      </c>
      <c r="N12" s="4" t="s">
        <v>25</v>
      </c>
    </row>
    <row r="13" customFormat="false" ht="57.75" hidden="false" customHeight="true" outlineLevel="0" collapsed="false">
      <c r="A13" s="4" t="s">
        <v>77</v>
      </c>
      <c r="B13" s="5" t="s">
        <v>78</v>
      </c>
      <c r="C13" s="4" t="s">
        <v>52</v>
      </c>
      <c r="D13" s="5" t="s">
        <v>79</v>
      </c>
      <c r="E13" s="5" t="s">
        <v>80</v>
      </c>
      <c r="F13" s="4" t="n">
        <v>3</v>
      </c>
      <c r="G13" s="4" t="n">
        <v>4</v>
      </c>
      <c r="H13" s="6" t="n">
        <f aca="false">F13*G13</f>
        <v>12</v>
      </c>
      <c r="I13" s="4" t="str">
        <f aca="false">IF(H13&gt;=15,"Critical",IF(H13&gt;=10,"High",IF(H13&gt;=5,"Medium","Low")))</f>
        <v>High</v>
      </c>
      <c r="J13" s="5" t="s">
        <v>81</v>
      </c>
      <c r="K13" s="5" t="s">
        <v>82</v>
      </c>
      <c r="L13" s="4" t="s">
        <v>48</v>
      </c>
      <c r="M13" s="4" t="s">
        <v>83</v>
      </c>
      <c r="N13" s="4" t="s">
        <v>25</v>
      </c>
    </row>
    <row r="14" customFormat="false" ht="57.75" hidden="false" customHeight="true" outlineLevel="0" collapsed="false">
      <c r="A14" s="4" t="s">
        <v>84</v>
      </c>
      <c r="B14" s="5" t="s">
        <v>85</v>
      </c>
      <c r="C14" s="4" t="s">
        <v>86</v>
      </c>
      <c r="D14" s="5" t="s">
        <v>53</v>
      </c>
      <c r="E14" s="5" t="s">
        <v>87</v>
      </c>
      <c r="F14" s="4" t="n">
        <v>2</v>
      </c>
      <c r="G14" s="4" t="n">
        <v>3</v>
      </c>
      <c r="H14" s="6" t="n">
        <f aca="false">F14*G14</f>
        <v>6</v>
      </c>
      <c r="I14" s="4" t="str">
        <f aca="false">IF(H14&gt;=15,"Critical",IF(H14&gt;=10,"High",IF(H14&gt;=5,"Medium","Low")))</f>
        <v>Medium</v>
      </c>
      <c r="J14" s="5" t="s">
        <v>88</v>
      </c>
      <c r="K14" s="5" t="s">
        <v>89</v>
      </c>
      <c r="L14" s="4" t="s">
        <v>90</v>
      </c>
      <c r="M14" s="4" t="s">
        <v>91</v>
      </c>
      <c r="N14" s="4" t="s">
        <v>25</v>
      </c>
    </row>
    <row r="15" customFormat="false" ht="57.75" hidden="false" customHeight="true" outlineLevel="0" collapsed="false">
      <c r="A15" s="4" t="s">
        <v>92</v>
      </c>
      <c r="B15" s="5" t="s">
        <v>93</v>
      </c>
      <c r="C15" s="4" t="s">
        <v>52</v>
      </c>
      <c r="D15" s="5" t="s">
        <v>94</v>
      </c>
      <c r="E15" s="5" t="s">
        <v>95</v>
      </c>
      <c r="F15" s="4" t="n">
        <v>2</v>
      </c>
      <c r="G15" s="4" t="n">
        <v>4</v>
      </c>
      <c r="H15" s="6" t="n">
        <f aca="false">F15*G15</f>
        <v>8</v>
      </c>
      <c r="I15" s="4" t="str">
        <f aca="false">IF(H15&gt;=15,"Critical",IF(H15&gt;=10,"High",IF(H15&gt;=5,"Medium","Low")))</f>
        <v>Medium</v>
      </c>
      <c r="J15" s="5" t="s">
        <v>96</v>
      </c>
      <c r="K15" s="5" t="s">
        <v>97</v>
      </c>
      <c r="L15" s="4" t="s">
        <v>48</v>
      </c>
      <c r="M15" s="4" t="s">
        <v>98</v>
      </c>
      <c r="N15" s="4" t="s">
        <v>25</v>
      </c>
    </row>
    <row r="16" customFormat="false" ht="57.75" hidden="false" customHeight="true" outlineLevel="0" collapsed="false">
      <c r="A16" s="4" t="s">
        <v>99</v>
      </c>
      <c r="B16" s="5" t="s">
        <v>100</v>
      </c>
      <c r="C16" s="4" t="s">
        <v>18</v>
      </c>
      <c r="D16" s="5" t="s">
        <v>19</v>
      </c>
      <c r="E16" s="5" t="s">
        <v>101</v>
      </c>
      <c r="F16" s="4" t="n">
        <v>3</v>
      </c>
      <c r="G16" s="4" t="n">
        <v>4</v>
      </c>
      <c r="H16" s="6" t="n">
        <f aca="false">F16*G16</f>
        <v>12</v>
      </c>
      <c r="I16" s="4" t="str">
        <f aca="false">IF(H16&gt;=15,"Critical",IF(H16&gt;=10,"High",IF(H16&gt;=5,"Medium","Low")))</f>
        <v>High</v>
      </c>
      <c r="J16" s="5" t="s">
        <v>102</v>
      </c>
      <c r="K16" s="5" t="s">
        <v>103</v>
      </c>
      <c r="L16" s="4" t="s">
        <v>23</v>
      </c>
      <c r="M16" s="4" t="s">
        <v>57</v>
      </c>
      <c r="N16" s="4" t="s">
        <v>25</v>
      </c>
    </row>
    <row r="17" customFormat="false" ht="57.75" hidden="false" customHeight="true" outlineLevel="0" collapsed="false">
      <c r="A17" s="4" t="s">
        <v>104</v>
      </c>
      <c r="B17" s="5" t="s">
        <v>105</v>
      </c>
      <c r="C17" s="4" t="s">
        <v>52</v>
      </c>
      <c r="D17" s="5" t="s">
        <v>79</v>
      </c>
      <c r="E17" s="5" t="s">
        <v>106</v>
      </c>
      <c r="F17" s="4" t="n">
        <v>2</v>
      </c>
      <c r="G17" s="4" t="n">
        <v>5</v>
      </c>
      <c r="H17" s="6" t="n">
        <f aca="false">F17*G17</f>
        <v>10</v>
      </c>
      <c r="I17" s="4" t="str">
        <f aca="false">IF(H17&gt;=15,"Critical",IF(H17&gt;=10,"High",IF(H17&gt;=5,"Medium","Low")))</f>
        <v>High</v>
      </c>
      <c r="J17" s="5" t="s">
        <v>107</v>
      </c>
      <c r="K17" s="5" t="s">
        <v>108</v>
      </c>
      <c r="L17" s="4" t="s">
        <v>23</v>
      </c>
      <c r="M17" s="4" t="s">
        <v>109</v>
      </c>
      <c r="N17" s="4" t="s">
        <v>25</v>
      </c>
    </row>
    <row r="20" customFormat="false" ht="15" hidden="false" customHeight="false" outlineLevel="0" collapsed="false">
      <c r="A20" s="7" t="s">
        <v>110</v>
      </c>
    </row>
    <row r="21" customFormat="false" ht="15" hidden="false" customHeight="false" outlineLevel="0" collapsed="false">
      <c r="A21" s="8" t="s">
        <v>111</v>
      </c>
      <c r="B21" s="8" t="s">
        <v>112</v>
      </c>
    </row>
    <row r="22" customFormat="false" ht="15" hidden="false" customHeight="false" outlineLevel="0" collapsed="false">
      <c r="A22" s="9" t="s">
        <v>113</v>
      </c>
      <c r="B22" s="9" t="s">
        <v>114</v>
      </c>
    </row>
    <row r="23" customFormat="false" ht="15" hidden="false" customHeight="false" outlineLevel="0" collapsed="false">
      <c r="A23" s="10" t="s">
        <v>115</v>
      </c>
      <c r="B23" s="10" t="s">
        <v>116</v>
      </c>
    </row>
    <row r="24" customFormat="false" ht="15" hidden="false" customHeight="false" outlineLevel="0" collapsed="false">
      <c r="A24" s="11" t="s">
        <v>117</v>
      </c>
      <c r="B24" s="11" t="s">
        <v>118</v>
      </c>
    </row>
  </sheetData>
  <autoFilter ref="A4:N17"/>
  <mergeCells count="2">
    <mergeCell ref="A1:N1"/>
    <mergeCell ref="A2:N2"/>
  </mergeCells>
  <conditionalFormatting sqref="H5:H17">
    <cfRule type="colorScale" priority="2">
      <colorScale>
        <cfvo type="min" val="0"/>
        <cfvo type="num" val="12"/>
        <cfvo type="max" val="0"/>
        <color rgb="FF63BE7B"/>
        <color rgb="FFFFEB84"/>
        <color rgb="FFF8696B"/>
      </colorScale>
    </cfRule>
  </conditionalFormatting>
  <dataValidations count="1">
    <dataValidation allowBlank="false" errorStyle="stop" operator="between" showDropDown="false" showErrorMessage="false" showInputMessage="false" sqref="N5:N17" type="list">
      <formula1>"Open,In Progress,Mitigated,Accepted,Closed"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7" min="2" style="0" width="12"/>
  </cols>
  <sheetData>
    <row r="1" customFormat="false" ht="19.7" hidden="false" customHeight="false" outlineLevel="0" collapsed="false">
      <c r="A1" s="1" t="s">
        <v>119</v>
      </c>
      <c r="B1" s="1"/>
      <c r="C1" s="1"/>
      <c r="D1" s="1"/>
      <c r="E1" s="1"/>
      <c r="F1" s="1"/>
      <c r="G1" s="1"/>
    </row>
    <row r="3" customFormat="false" ht="23.85" hidden="false" customHeight="false" outlineLevel="0" collapsed="false">
      <c r="A3" s="12" t="s">
        <v>120</v>
      </c>
      <c r="B3" s="12" t="s">
        <v>121</v>
      </c>
      <c r="C3" s="12" t="s">
        <v>122</v>
      </c>
      <c r="D3" s="12" t="s">
        <v>123</v>
      </c>
      <c r="E3" s="12" t="s">
        <v>124</v>
      </c>
      <c r="F3" s="12" t="s">
        <v>125</v>
      </c>
    </row>
    <row r="4" customFormat="false" ht="15" hidden="false" customHeight="false" outlineLevel="0" collapsed="false">
      <c r="A4" s="12" t="s">
        <v>126</v>
      </c>
      <c r="B4" s="13" t="n">
        <f aca="false">COUNTIFS('Risk Register'!$F$5:$F$17,5,'Risk Register'!$G$5:$G$17,1)</f>
        <v>0</v>
      </c>
      <c r="C4" s="14" t="n">
        <f aca="false">COUNTIFS('Risk Register'!$F$5:$F$17,5,'Risk Register'!$G$5:$G$17,2)</f>
        <v>0</v>
      </c>
      <c r="D4" s="15" t="n">
        <f aca="false">COUNTIFS('Risk Register'!$F$5:$F$17,5,'Risk Register'!$G$5:$G$17,3)</f>
        <v>0</v>
      </c>
      <c r="E4" s="15" t="n">
        <f aca="false">COUNTIFS('Risk Register'!$F$5:$F$17,5,'Risk Register'!$G$5:$G$17,4)</f>
        <v>0</v>
      </c>
      <c r="F4" s="15" t="n">
        <f aca="false">COUNTIFS('Risk Register'!$F$5:$F$17,5,'Risk Register'!$G$5:$G$17,5)</f>
        <v>0</v>
      </c>
    </row>
    <row r="5" customFormat="false" ht="15" hidden="false" customHeight="false" outlineLevel="0" collapsed="false">
      <c r="A5" s="12" t="s">
        <v>127</v>
      </c>
      <c r="B5" s="16" t="n">
        <f aca="false">COUNTIFS('Risk Register'!$F$5:$F$17,4,'Risk Register'!$G$5:$G$17,1)</f>
        <v>0</v>
      </c>
      <c r="C5" s="13" t="n">
        <f aca="false">COUNTIFS('Risk Register'!$F$5:$F$17,4,'Risk Register'!$G$5:$G$17,2)</f>
        <v>0</v>
      </c>
      <c r="D5" s="14" t="n">
        <f aca="false">COUNTIFS('Risk Register'!$F$5:$F$17,4,'Risk Register'!$G$5:$G$17,3)</f>
        <v>2</v>
      </c>
      <c r="E5" s="15" t="n">
        <f aca="false">COUNTIFS('Risk Register'!$F$5:$F$17,4,'Risk Register'!$G$5:$G$17,4)</f>
        <v>1</v>
      </c>
      <c r="F5" s="15" t="n">
        <f aca="false">COUNTIFS('Risk Register'!$F$5:$F$17,4,'Risk Register'!$G$5:$G$17,5)</f>
        <v>0</v>
      </c>
    </row>
    <row r="6" customFormat="false" ht="15" hidden="false" customHeight="false" outlineLevel="0" collapsed="false">
      <c r="A6" s="12" t="s">
        <v>128</v>
      </c>
      <c r="B6" s="16" t="n">
        <f aca="false">COUNTIFS('Risk Register'!$F$5:$F$17,3,'Risk Register'!$G$5:$G$17,1)</f>
        <v>0</v>
      </c>
      <c r="C6" s="13" t="n">
        <f aca="false">COUNTIFS('Risk Register'!$F$5:$F$17,3,'Risk Register'!$G$5:$G$17,2)</f>
        <v>0</v>
      </c>
      <c r="D6" s="13" t="n">
        <f aca="false">COUNTIFS('Risk Register'!$F$5:$F$17,3,'Risk Register'!$G$5:$G$17,3)</f>
        <v>1</v>
      </c>
      <c r="E6" s="14" t="n">
        <f aca="false">COUNTIFS('Risk Register'!$F$5:$F$17,3,'Risk Register'!$G$5:$G$17,4)</f>
        <v>2</v>
      </c>
      <c r="F6" s="15" t="n">
        <f aca="false">COUNTIFS('Risk Register'!$F$5:$F$17,3,'Risk Register'!$G$5:$G$17,5)</f>
        <v>2</v>
      </c>
    </row>
    <row r="7" customFormat="false" ht="15" hidden="false" customHeight="false" outlineLevel="0" collapsed="false">
      <c r="A7" s="12" t="s">
        <v>129</v>
      </c>
      <c r="B7" s="16" t="n">
        <f aca="false">COUNTIFS('Risk Register'!$F$5:$F$17,2,'Risk Register'!$G$5:$G$17,1)</f>
        <v>0</v>
      </c>
      <c r="C7" s="16" t="n">
        <f aca="false">COUNTIFS('Risk Register'!$F$5:$F$17,2,'Risk Register'!$G$5:$G$17,2)</f>
        <v>0</v>
      </c>
      <c r="D7" s="13" t="n">
        <f aca="false">COUNTIFS('Risk Register'!$F$5:$F$17,2,'Risk Register'!$G$5:$G$17,3)</f>
        <v>1</v>
      </c>
      <c r="E7" s="13" t="n">
        <f aca="false">COUNTIFS('Risk Register'!$F$5:$F$17,2,'Risk Register'!$G$5:$G$17,4)</f>
        <v>2</v>
      </c>
      <c r="F7" s="14" t="n">
        <f aca="false">COUNTIFS('Risk Register'!$F$5:$F$17,2,'Risk Register'!$G$5:$G$17,5)</f>
        <v>2</v>
      </c>
    </row>
    <row r="8" customFormat="false" ht="15" hidden="false" customHeight="false" outlineLevel="0" collapsed="false">
      <c r="A8" s="12" t="s">
        <v>130</v>
      </c>
      <c r="B8" s="16" t="n">
        <f aca="false">COUNTIFS('Risk Register'!$F$5:$F$17,1,'Risk Register'!$G$5:$G$17,1)</f>
        <v>0</v>
      </c>
      <c r="C8" s="16" t="n">
        <f aca="false">COUNTIFS('Risk Register'!$F$5:$F$17,1,'Risk Register'!$G$5:$G$17,2)</f>
        <v>0</v>
      </c>
      <c r="D8" s="16" t="n">
        <f aca="false">COUNTIFS('Risk Register'!$F$5:$F$17,1,'Risk Register'!$G$5:$G$17,3)</f>
        <v>0</v>
      </c>
      <c r="E8" s="16" t="n">
        <f aca="false">COUNTIFS('Risk Register'!$F$5:$F$17,1,'Risk Register'!$G$5:$G$17,4)</f>
        <v>0</v>
      </c>
      <c r="F8" s="13" t="n">
        <f aca="false">COUNTIFS('Risk Register'!$F$5:$F$17,1,'Risk Register'!$G$5:$G$17,5)</f>
        <v>0</v>
      </c>
    </row>
    <row r="10" customFormat="false" ht="15" hidden="false" customHeight="false" outlineLevel="0" collapsed="false">
      <c r="A10" s="2" t="s">
        <v>131</v>
      </c>
      <c r="B10" s="2"/>
      <c r="C10" s="2"/>
      <c r="D10" s="2"/>
      <c r="E10" s="2"/>
      <c r="F10" s="2"/>
      <c r="G10" s="2"/>
    </row>
  </sheetData>
  <mergeCells count="2">
    <mergeCell ref="A1:G1"/>
    <mergeCell ref="A10:G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2026-07-29T02:27:25Z</dcterms:created>
  <dc:creator>openpyxl</dc:creator>
  <dc:description/>
  <dc:language>en-US</dc:language>
  <cp:lastModifiedBy/>
  <dcterms:modified xsi:type="dcterms:W3CDTF">2026-07-29T02:27:25Z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